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Perfil" sheetId="2" state="visible" r:id="rId2"/>
    <sheet name="Coleta_Tarefas" sheetId="3" state="visible" r:id="rId3"/>
    <sheet name="UEQ-S" sheetId="4" state="visible" r:id="rId4"/>
    <sheet name="Defei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D4ED8"/>
      <sz val="14"/>
    </font>
    <font>
      <name val="Arial"/>
      <color rgb="000F172A"/>
      <sz val="10"/>
    </font>
    <font>
      <name val="Arial"/>
      <b val="1"/>
      <color rgb="000F172A"/>
      <sz val="10"/>
    </font>
    <font>
      <name val="Arial"/>
      <b val="1"/>
      <color rgb="001D4ED8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D4ED8"/>
      <sz val="10"/>
    </font>
    <font>
      <name val="Arial"/>
      <b val="1"/>
      <color rgb="001D4ED8"/>
      <sz val="11"/>
    </font>
    <font>
      <name val="Arial"/>
      <b val="1"/>
      <sz val="10"/>
    </font>
    <font>
      <name val="Arial"/>
      <i val="1"/>
      <color rgb="00475569"/>
      <sz val="9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4F7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6" fillId="3" borderId="1" pivotButton="0" quotePrefix="0" xfId="0"/>
    <xf numFmtId="0" fontId="7" fillId="0" borderId="1" pivotButton="0" quotePrefix="0" xfId="0"/>
    <xf numFmtId="0" fontId="6" fillId="0" borderId="1" pivotButton="0" quotePrefix="0" xfId="0"/>
    <xf numFmtId="0" fontId="8" fillId="0" borderId="0" pivotButton="0" quotePrefix="0" xfId="0"/>
    <xf numFmtId="9" fontId="6" fillId="0" borderId="1" pivotButton="0" quotePrefix="0" xfId="0"/>
    <xf numFmtId="0" fontId="7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9" fillId="0" borderId="1" pivotButton="0" quotePrefix="0" xfId="0"/>
    <xf numFmtId="2" fontId="7" fillId="0" borderId="1" applyAlignment="1" pivotButton="0" quotePrefix="0" xfId="0">
      <alignment horizontal="center"/>
    </xf>
    <xf numFmtId="0" fontId="10" fillId="0" borderId="0" pivotButton="0" quotePrefix="0" xfId="0"/>
    <xf numFmtId="0" fontId="7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Track Fibra — Coleta do Teste de Usabilidade + UX (Fase 4)</t>
        </is>
      </c>
    </row>
    <row r="2">
      <c r="A2" s="2" t="inlineStr"/>
    </row>
    <row r="3">
      <c r="A3" s="3" t="inlineStr">
        <is>
          <t>Como usar este arquivo:</t>
        </is>
      </c>
    </row>
    <row r="4">
      <c r="A4" s="2" t="inlineStr">
        <is>
          <t xml:space="preserve">  • Aba 'Perfil'  → 1 linha por participante (P1–P5), sem nome (anônimo).</t>
        </is>
      </c>
    </row>
    <row r="5">
      <c r="A5" s="2" t="inlineStr">
        <is>
          <t xml:space="preserve">  • Aba 'Coleta_Tarefas'  → o moderador preenche durante a sessão: Sucesso (lista), Erros, Ajuda, Tempo, Observações.</t>
        </is>
      </c>
    </row>
    <row r="6">
      <c r="A6" s="2" t="inlineStr">
        <is>
          <t xml:space="preserve">         O resumo por tarefa (taxa de sucesso, médias) calcula sozinho embaixo da tabela.</t>
        </is>
      </c>
    </row>
    <row r="7">
      <c r="A7" s="2" t="inlineStr">
        <is>
          <t xml:space="preserve">  • Aba 'UEQ-S'  → transcreva os números (-3 a +3) do formulário. Pragmática/Hedônica/Geral calculam sozinhos.</t>
        </is>
      </c>
    </row>
    <row r="8">
      <c r="A8" s="2" t="inlineStr">
        <is>
          <t xml:space="preserve">  • Aba 'Defeitos'  → consolide de 3 a 5 defeitos com heurística de Nielsen, severidade (0–4) e a correção (antes→depois).</t>
        </is>
      </c>
    </row>
    <row r="9">
      <c r="A9" s="2" t="inlineStr"/>
    </row>
    <row r="10">
      <c r="A10" s="2" t="inlineStr">
        <is>
          <t>Técnicas: Usabilidade = Teste por tarefas com Think-Aloud · UX = UEQ-S.</t>
        </is>
      </c>
    </row>
    <row r="11">
      <c r="A11" s="2" t="inlineStr">
        <is>
          <t>Escala de severidade (Nielsen): 0 = não é problema · 1 = cosmético · 2 = menor · 3 = maior · 4 = catastrófico.</t>
        </is>
      </c>
    </row>
    <row r="12">
      <c r="A12" s="2" t="inlineStr">
        <is>
          <t>Interpretação UEQ-S: média &gt; 0,8 = positiva · entre -0,8 e 0,8 = neutra · &lt; -0,8 = negativa.</t>
        </is>
      </c>
    </row>
    <row r="13">
      <c r="A13" s="2" t="inlineStr"/>
    </row>
    <row r="14">
      <c r="A14" s="2" t="inlineStr">
        <is>
          <t>Plano completo do teste: fase4-teste-usabilidade-ux.md   |   Formulário p/ imprimir: fase4-formulario-ueq-s.html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24" customWidth="1" min="3" max="3"/>
    <col width="20" customWidth="1" min="4" max="4"/>
    <col width="20" customWidth="1" min="5" max="5"/>
    <col width="18" customWidth="1" min="6" max="6"/>
    <col width="30" customWidth="1" min="7" max="7"/>
  </cols>
  <sheetData>
    <row r="1">
      <c r="A1" s="4" t="inlineStr">
        <is>
          <t>Perfil dos participantes (anônimo — sem identificação pessoal)</t>
        </is>
      </c>
    </row>
    <row r="3">
      <c r="A3" s="5" t="inlineStr">
        <is>
          <t>Código</t>
        </is>
      </c>
      <c r="B3" s="5" t="inlineStr">
        <is>
          <t>Faixa etária</t>
        </is>
      </c>
      <c r="C3" s="5" t="inlineStr">
        <is>
          <t>Escolaridade / área</t>
        </is>
      </c>
      <c r="D3" s="5" t="inlineStr">
        <is>
          <t>Familiaridade digital</t>
        </is>
      </c>
      <c r="E3" s="5" t="inlineStr">
        <is>
          <t>Usa app no trabalho?</t>
        </is>
      </c>
      <c r="F3" s="5" t="inlineStr">
        <is>
          <t>Uso do celular</t>
        </is>
      </c>
      <c r="G3" s="5" t="inlineStr">
        <is>
          <t>Observações</t>
        </is>
      </c>
    </row>
    <row r="4">
      <c r="A4" s="6" t="inlineStr">
        <is>
          <t>P1</t>
        </is>
      </c>
      <c r="B4" s="7" t="inlineStr"/>
      <c r="C4" s="7" t="inlineStr"/>
      <c r="D4" s="7" t="inlineStr"/>
      <c r="E4" s="7" t="inlineStr"/>
      <c r="F4" s="7" t="inlineStr"/>
      <c r="G4" s="7" t="inlineStr"/>
    </row>
    <row r="5">
      <c r="A5" s="8" t="inlineStr">
        <is>
          <t>P2</t>
        </is>
      </c>
      <c r="B5" s="9" t="inlineStr"/>
      <c r="C5" s="9" t="inlineStr"/>
      <c r="D5" s="9" t="inlineStr"/>
      <c r="E5" s="9" t="inlineStr"/>
      <c r="F5" s="9" t="inlineStr"/>
      <c r="G5" s="9" t="inlineStr"/>
    </row>
    <row r="6">
      <c r="A6" s="6" t="inlineStr">
        <is>
          <t>P3</t>
        </is>
      </c>
      <c r="B6" s="7" t="inlineStr"/>
      <c r="C6" s="7" t="inlineStr"/>
      <c r="D6" s="7" t="inlineStr"/>
      <c r="E6" s="7" t="inlineStr"/>
      <c r="F6" s="7" t="inlineStr"/>
      <c r="G6" s="7" t="inlineStr"/>
    </row>
    <row r="7">
      <c r="A7" s="8" t="inlineStr">
        <is>
          <t>P4</t>
        </is>
      </c>
      <c r="B7" s="9" t="inlineStr"/>
      <c r="C7" s="9" t="inlineStr"/>
      <c r="D7" s="9" t="inlineStr"/>
      <c r="E7" s="9" t="inlineStr"/>
      <c r="F7" s="9" t="inlineStr"/>
      <c r="G7" s="9" t="inlineStr"/>
    </row>
    <row r="8">
      <c r="A8" s="6" t="inlineStr">
        <is>
          <t>P5</t>
        </is>
      </c>
      <c r="B8" s="7" t="inlineStr"/>
      <c r="C8" s="7" t="inlineStr"/>
      <c r="D8" s="7" t="inlineStr"/>
      <c r="E8" s="7" t="inlineStr"/>
      <c r="F8" s="7" t="inlineStr"/>
      <c r="G8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8" customWidth="1" min="4" max="4"/>
    <col width="16" customWidth="1" min="5" max="5"/>
    <col width="11" customWidth="1" min="6" max="6"/>
    <col width="34" customWidth="1" min="7" max="7"/>
  </cols>
  <sheetData>
    <row r="1">
      <c r="A1" s="4" t="inlineStr">
        <is>
          <t>Coleta por tarefa (preencher durante a sessão)</t>
        </is>
      </c>
    </row>
    <row r="3">
      <c r="A3" s="5" t="inlineStr">
        <is>
          <t>Participante</t>
        </is>
      </c>
      <c r="B3" s="5" t="inlineStr">
        <is>
          <t>Tarefa</t>
        </is>
      </c>
      <c r="C3" s="5" t="inlineStr">
        <is>
          <t>Sucesso</t>
        </is>
      </c>
      <c r="D3" s="5" t="inlineStr">
        <is>
          <t>Erros</t>
        </is>
      </c>
      <c r="E3" s="5" t="inlineStr">
        <is>
          <t>Pedidos de ajuda</t>
        </is>
      </c>
      <c r="F3" s="5" t="inlineStr">
        <is>
          <t>Tempo (s)</t>
        </is>
      </c>
      <c r="G3" s="5" t="inlineStr">
        <is>
          <t>Observações / citações</t>
        </is>
      </c>
    </row>
    <row r="4">
      <c r="A4" s="9" t="inlineStr">
        <is>
          <t>P1</t>
        </is>
      </c>
      <c r="B4" s="9" t="inlineStr">
        <is>
          <t>T1 Login</t>
        </is>
      </c>
      <c r="C4" s="9" t="inlineStr"/>
      <c r="D4" s="9" t="inlineStr"/>
      <c r="E4" s="9" t="inlineStr"/>
      <c r="F4" s="9" t="inlineStr"/>
      <c r="G4" s="9" t="inlineStr"/>
    </row>
    <row r="5">
      <c r="A5" s="9" t="inlineStr">
        <is>
          <t>P1</t>
        </is>
      </c>
      <c r="B5" s="9" t="inlineStr">
        <is>
          <t>T2 Chamados pendentes</t>
        </is>
      </c>
      <c r="C5" s="9" t="inlineStr"/>
      <c r="D5" s="9" t="inlineStr"/>
      <c r="E5" s="9" t="inlineStr"/>
      <c r="F5" s="9" t="inlineStr"/>
      <c r="G5" s="9" t="inlineStr"/>
    </row>
    <row r="6">
      <c r="A6" s="9" t="inlineStr">
        <is>
          <t>P1</t>
        </is>
      </c>
      <c r="B6" s="9" t="inlineStr">
        <is>
          <t>T3 Buscar chamado</t>
        </is>
      </c>
      <c r="C6" s="9" t="inlineStr"/>
      <c r="D6" s="9" t="inlineStr"/>
      <c r="E6" s="9" t="inlineStr"/>
      <c r="F6" s="9" t="inlineStr"/>
      <c r="G6" s="9" t="inlineStr"/>
    </row>
    <row r="7">
      <c r="A7" s="9" t="inlineStr">
        <is>
          <t>P1</t>
        </is>
      </c>
      <c r="B7" s="9" t="inlineStr">
        <is>
          <t>T4 Rota no mapa</t>
        </is>
      </c>
      <c r="C7" s="9" t="inlineStr"/>
      <c r="D7" s="9" t="inlineStr"/>
      <c r="E7" s="9" t="inlineStr"/>
      <c r="F7" s="9" t="inlineStr"/>
      <c r="G7" s="9" t="inlineStr"/>
    </row>
    <row r="8">
      <c r="A8" s="9" t="inlineStr">
        <is>
          <t>P1</t>
        </is>
      </c>
      <c r="B8" s="9" t="inlineStr">
        <is>
          <t>T5 Encerrar/Reagendar</t>
        </is>
      </c>
      <c r="C8" s="9" t="inlineStr"/>
      <c r="D8" s="9" t="inlineStr"/>
      <c r="E8" s="9" t="inlineStr"/>
      <c r="F8" s="9" t="inlineStr"/>
      <c r="G8" s="9" t="inlineStr"/>
    </row>
    <row r="9">
      <c r="A9" s="7" t="inlineStr">
        <is>
          <t>P2</t>
        </is>
      </c>
      <c r="B9" s="7" t="inlineStr">
        <is>
          <t>T1 Login</t>
        </is>
      </c>
      <c r="C9" s="7" t="inlineStr"/>
      <c r="D9" s="7" t="inlineStr"/>
      <c r="E9" s="7" t="inlineStr"/>
      <c r="F9" s="7" t="inlineStr"/>
      <c r="G9" s="7" t="inlineStr"/>
    </row>
    <row r="10">
      <c r="A10" s="7" t="inlineStr">
        <is>
          <t>P2</t>
        </is>
      </c>
      <c r="B10" s="7" t="inlineStr">
        <is>
          <t>T2 Chamados pendentes</t>
        </is>
      </c>
      <c r="C10" s="7" t="inlineStr"/>
      <c r="D10" s="7" t="inlineStr"/>
      <c r="E10" s="7" t="inlineStr"/>
      <c r="F10" s="7" t="inlineStr"/>
      <c r="G10" s="7" t="inlineStr"/>
    </row>
    <row r="11">
      <c r="A11" s="7" t="inlineStr">
        <is>
          <t>P2</t>
        </is>
      </c>
      <c r="B11" s="7" t="inlineStr">
        <is>
          <t>T3 Buscar chamado</t>
        </is>
      </c>
      <c r="C11" s="7" t="inlineStr"/>
      <c r="D11" s="7" t="inlineStr"/>
      <c r="E11" s="7" t="inlineStr"/>
      <c r="F11" s="7" t="inlineStr"/>
      <c r="G11" s="7" t="inlineStr"/>
    </row>
    <row r="12">
      <c r="A12" s="7" t="inlineStr">
        <is>
          <t>P2</t>
        </is>
      </c>
      <c r="B12" s="7" t="inlineStr">
        <is>
          <t>T4 Rota no mapa</t>
        </is>
      </c>
      <c r="C12" s="7" t="inlineStr"/>
      <c r="D12" s="7" t="inlineStr"/>
      <c r="E12" s="7" t="inlineStr"/>
      <c r="F12" s="7" t="inlineStr"/>
      <c r="G12" s="7" t="inlineStr"/>
    </row>
    <row r="13">
      <c r="A13" s="7" t="inlineStr">
        <is>
          <t>P2</t>
        </is>
      </c>
      <c r="B13" s="7" t="inlineStr">
        <is>
          <t>T5 Encerrar/Reagendar</t>
        </is>
      </c>
      <c r="C13" s="7" t="inlineStr"/>
      <c r="D13" s="7" t="inlineStr"/>
      <c r="E13" s="7" t="inlineStr"/>
      <c r="F13" s="7" t="inlineStr"/>
      <c r="G13" s="7" t="inlineStr"/>
    </row>
    <row r="14">
      <c r="A14" s="9" t="inlineStr">
        <is>
          <t>P3</t>
        </is>
      </c>
      <c r="B14" s="9" t="inlineStr">
        <is>
          <t>T1 Login</t>
        </is>
      </c>
      <c r="C14" s="9" t="inlineStr"/>
      <c r="D14" s="9" t="inlineStr"/>
      <c r="E14" s="9" t="inlineStr"/>
      <c r="F14" s="9" t="inlineStr"/>
      <c r="G14" s="9" t="inlineStr"/>
    </row>
    <row r="15">
      <c r="A15" s="9" t="inlineStr">
        <is>
          <t>P3</t>
        </is>
      </c>
      <c r="B15" s="9" t="inlineStr">
        <is>
          <t>T2 Chamados pendentes</t>
        </is>
      </c>
      <c r="C15" s="9" t="inlineStr"/>
      <c r="D15" s="9" t="inlineStr"/>
      <c r="E15" s="9" t="inlineStr"/>
      <c r="F15" s="9" t="inlineStr"/>
      <c r="G15" s="9" t="inlineStr"/>
    </row>
    <row r="16">
      <c r="A16" s="9" t="inlineStr">
        <is>
          <t>P3</t>
        </is>
      </c>
      <c r="B16" s="9" t="inlineStr">
        <is>
          <t>T3 Buscar chamado</t>
        </is>
      </c>
      <c r="C16" s="9" t="inlineStr"/>
      <c r="D16" s="9" t="inlineStr"/>
      <c r="E16" s="9" t="inlineStr"/>
      <c r="F16" s="9" t="inlineStr"/>
      <c r="G16" s="9" t="inlineStr"/>
    </row>
    <row r="17">
      <c r="A17" s="9" t="inlineStr">
        <is>
          <t>P3</t>
        </is>
      </c>
      <c r="B17" s="9" t="inlineStr">
        <is>
          <t>T4 Rota no mapa</t>
        </is>
      </c>
      <c r="C17" s="9" t="inlineStr"/>
      <c r="D17" s="9" t="inlineStr"/>
      <c r="E17" s="9" t="inlineStr"/>
      <c r="F17" s="9" t="inlineStr"/>
      <c r="G17" s="9" t="inlineStr"/>
    </row>
    <row r="18">
      <c r="A18" s="9" t="inlineStr">
        <is>
          <t>P3</t>
        </is>
      </c>
      <c r="B18" s="9" t="inlineStr">
        <is>
          <t>T5 Encerrar/Reagendar</t>
        </is>
      </c>
      <c r="C18" s="9" t="inlineStr"/>
      <c r="D18" s="9" t="inlineStr"/>
      <c r="E18" s="9" t="inlineStr"/>
      <c r="F18" s="9" t="inlineStr"/>
      <c r="G18" s="9" t="inlineStr"/>
    </row>
    <row r="19">
      <c r="A19" s="7" t="inlineStr">
        <is>
          <t>P4</t>
        </is>
      </c>
      <c r="B19" s="7" t="inlineStr">
        <is>
          <t>T1 Login</t>
        </is>
      </c>
      <c r="C19" s="7" t="inlineStr"/>
      <c r="D19" s="7" t="inlineStr"/>
      <c r="E19" s="7" t="inlineStr"/>
      <c r="F19" s="7" t="inlineStr"/>
      <c r="G19" s="7" t="inlineStr"/>
    </row>
    <row r="20">
      <c r="A20" s="7" t="inlineStr">
        <is>
          <t>P4</t>
        </is>
      </c>
      <c r="B20" s="7" t="inlineStr">
        <is>
          <t>T2 Chamados pendentes</t>
        </is>
      </c>
      <c r="C20" s="7" t="inlineStr"/>
      <c r="D20" s="7" t="inlineStr"/>
      <c r="E20" s="7" t="inlineStr"/>
      <c r="F20" s="7" t="inlineStr"/>
      <c r="G20" s="7" t="inlineStr"/>
    </row>
    <row r="21">
      <c r="A21" s="7" t="inlineStr">
        <is>
          <t>P4</t>
        </is>
      </c>
      <c r="B21" s="7" t="inlineStr">
        <is>
          <t>T3 Buscar chamado</t>
        </is>
      </c>
      <c r="C21" s="7" t="inlineStr"/>
      <c r="D21" s="7" t="inlineStr"/>
      <c r="E21" s="7" t="inlineStr"/>
      <c r="F21" s="7" t="inlineStr"/>
      <c r="G21" s="7" t="inlineStr"/>
    </row>
    <row r="22">
      <c r="A22" s="7" t="inlineStr">
        <is>
          <t>P4</t>
        </is>
      </c>
      <c r="B22" s="7" t="inlineStr">
        <is>
          <t>T4 Rota no mapa</t>
        </is>
      </c>
      <c r="C22" s="7" t="inlineStr"/>
      <c r="D22" s="7" t="inlineStr"/>
      <c r="E22" s="7" t="inlineStr"/>
      <c r="F22" s="7" t="inlineStr"/>
      <c r="G22" s="7" t="inlineStr"/>
    </row>
    <row r="23">
      <c r="A23" s="7" t="inlineStr">
        <is>
          <t>P4</t>
        </is>
      </c>
      <c r="B23" s="7" t="inlineStr">
        <is>
          <t>T5 Encerrar/Reagendar</t>
        </is>
      </c>
      <c r="C23" s="7" t="inlineStr"/>
      <c r="D23" s="7" t="inlineStr"/>
      <c r="E23" s="7" t="inlineStr"/>
      <c r="F23" s="7" t="inlineStr"/>
      <c r="G23" s="7" t="inlineStr"/>
    </row>
    <row r="24">
      <c r="A24" s="9" t="inlineStr">
        <is>
          <t>P5</t>
        </is>
      </c>
      <c r="B24" s="9" t="inlineStr">
        <is>
          <t>T1 Login</t>
        </is>
      </c>
      <c r="C24" s="9" t="inlineStr"/>
      <c r="D24" s="9" t="inlineStr"/>
      <c r="E24" s="9" t="inlineStr"/>
      <c r="F24" s="9" t="inlineStr"/>
      <c r="G24" s="9" t="inlineStr"/>
    </row>
    <row r="25">
      <c r="A25" s="9" t="inlineStr">
        <is>
          <t>P5</t>
        </is>
      </c>
      <c r="B25" s="9" t="inlineStr">
        <is>
          <t>T2 Chamados pendentes</t>
        </is>
      </c>
      <c r="C25" s="9" t="inlineStr"/>
      <c r="D25" s="9" t="inlineStr"/>
      <c r="E25" s="9" t="inlineStr"/>
      <c r="F25" s="9" t="inlineStr"/>
      <c r="G25" s="9" t="inlineStr"/>
    </row>
    <row r="26">
      <c r="A26" s="9" t="inlineStr">
        <is>
          <t>P5</t>
        </is>
      </c>
      <c r="B26" s="9" t="inlineStr">
        <is>
          <t>T3 Buscar chamado</t>
        </is>
      </c>
      <c r="C26" s="9" t="inlineStr"/>
      <c r="D26" s="9" t="inlineStr"/>
      <c r="E26" s="9" t="inlineStr"/>
      <c r="F26" s="9" t="inlineStr"/>
      <c r="G26" s="9" t="inlineStr"/>
    </row>
    <row r="27">
      <c r="A27" s="9" t="inlineStr">
        <is>
          <t>P5</t>
        </is>
      </c>
      <c r="B27" s="9" t="inlineStr">
        <is>
          <t>T4 Rota no mapa</t>
        </is>
      </c>
      <c r="C27" s="9" t="inlineStr"/>
      <c r="D27" s="9" t="inlineStr"/>
      <c r="E27" s="9" t="inlineStr"/>
      <c r="F27" s="9" t="inlineStr"/>
      <c r="G27" s="9" t="inlineStr"/>
    </row>
    <row r="28">
      <c r="A28" s="9" t="inlineStr">
        <is>
          <t>P5</t>
        </is>
      </c>
      <c r="B28" s="9" t="inlineStr">
        <is>
          <t>T5 Encerrar/Reagendar</t>
        </is>
      </c>
      <c r="C28" s="9" t="inlineStr"/>
      <c r="D28" s="9" t="inlineStr"/>
      <c r="E28" s="9" t="inlineStr"/>
      <c r="F28" s="9" t="inlineStr"/>
      <c r="G28" s="9" t="inlineStr"/>
    </row>
    <row r="30">
      <c r="A30" s="10" t="inlineStr">
        <is>
          <t>Resumo por tarefa</t>
        </is>
      </c>
    </row>
    <row r="31">
      <c r="A31" s="5" t="inlineStr">
        <is>
          <t>Tarefa</t>
        </is>
      </c>
      <c r="B31" s="5" t="inlineStr">
        <is>
          <t>Sucessos</t>
        </is>
      </c>
      <c r="C31" s="5" t="inlineStr">
        <is>
          <t>Parciais</t>
        </is>
      </c>
      <c r="D31" s="5" t="inlineStr">
        <is>
          <t>Taxa de sucesso</t>
        </is>
      </c>
      <c r="E31" s="5" t="inlineStr">
        <is>
          <t>Média de erros</t>
        </is>
      </c>
      <c r="F31" s="5" t="inlineStr">
        <is>
          <t>Média de tempo (s)</t>
        </is>
      </c>
    </row>
    <row r="32">
      <c r="A32" s="9" t="inlineStr">
        <is>
          <t>T1 Login</t>
        </is>
      </c>
      <c r="B32" s="9">
        <f>COUNTIFS($B$4:$B$28,$A32,$C$4:$C$28,"Sucesso")</f>
        <v/>
      </c>
      <c r="C32" s="9">
        <f>COUNTIFS($B$4:$B$28,$A32,$C$4:$C$28,"Parcial")</f>
        <v/>
      </c>
      <c r="D32" s="11">
        <f>B32/5</f>
        <v/>
      </c>
      <c r="E32" s="9">
        <f>IFERROR(AVERAGEIF($B$4:$B$28,$A32,$D$4:$D$28),"—")</f>
        <v/>
      </c>
      <c r="F32" s="9">
        <f>IFERROR(AVERAGEIF($B$4:$B$28,$A32,$F$4:$F$28),"—")</f>
        <v/>
      </c>
    </row>
    <row r="33">
      <c r="A33" s="9" t="inlineStr">
        <is>
          <t>T2 Chamados pendentes</t>
        </is>
      </c>
      <c r="B33" s="9">
        <f>COUNTIFS($B$4:$B$28,$A33,$C$4:$C$28,"Sucesso")</f>
        <v/>
      </c>
      <c r="C33" s="9">
        <f>COUNTIFS($B$4:$B$28,$A33,$C$4:$C$28,"Parcial")</f>
        <v/>
      </c>
      <c r="D33" s="11">
        <f>B33/5</f>
        <v/>
      </c>
      <c r="E33" s="9">
        <f>IFERROR(AVERAGEIF($B$4:$B$28,$A33,$D$4:$D$28),"—")</f>
        <v/>
      </c>
      <c r="F33" s="9">
        <f>IFERROR(AVERAGEIF($B$4:$B$28,$A33,$F$4:$F$28),"—")</f>
        <v/>
      </c>
    </row>
    <row r="34">
      <c r="A34" s="9" t="inlineStr">
        <is>
          <t>T3 Buscar chamado</t>
        </is>
      </c>
      <c r="B34" s="9">
        <f>COUNTIFS($B$4:$B$28,$A34,$C$4:$C$28,"Sucesso")</f>
        <v/>
      </c>
      <c r="C34" s="9">
        <f>COUNTIFS($B$4:$B$28,$A34,$C$4:$C$28,"Parcial")</f>
        <v/>
      </c>
      <c r="D34" s="11">
        <f>B34/5</f>
        <v/>
      </c>
      <c r="E34" s="9">
        <f>IFERROR(AVERAGEIF($B$4:$B$28,$A34,$D$4:$D$28),"—")</f>
        <v/>
      </c>
      <c r="F34" s="9">
        <f>IFERROR(AVERAGEIF($B$4:$B$28,$A34,$F$4:$F$28),"—")</f>
        <v/>
      </c>
    </row>
    <row r="35">
      <c r="A35" s="9" t="inlineStr">
        <is>
          <t>T4 Rota no mapa</t>
        </is>
      </c>
      <c r="B35" s="9">
        <f>COUNTIFS($B$4:$B$28,$A35,$C$4:$C$28,"Sucesso")</f>
        <v/>
      </c>
      <c r="C35" s="9">
        <f>COUNTIFS($B$4:$B$28,$A35,$C$4:$C$28,"Parcial")</f>
        <v/>
      </c>
      <c r="D35" s="11">
        <f>B35/5</f>
        <v/>
      </c>
      <c r="E35" s="9">
        <f>IFERROR(AVERAGEIF($B$4:$B$28,$A35,$D$4:$D$28),"—")</f>
        <v/>
      </c>
      <c r="F35" s="9">
        <f>IFERROR(AVERAGEIF($B$4:$B$28,$A35,$F$4:$F$28),"—")</f>
        <v/>
      </c>
    </row>
    <row r="36">
      <c r="A36" s="9" t="inlineStr">
        <is>
          <t>T5 Encerrar/Reagendar</t>
        </is>
      </c>
      <c r="B36" s="9">
        <f>COUNTIFS($B$4:$B$28,$A36,$C$4:$C$28,"Sucesso")</f>
        <v/>
      </c>
      <c r="C36" s="9">
        <f>COUNTIFS($B$4:$B$28,$A36,$C$4:$C$28,"Parcial")</f>
        <v/>
      </c>
      <c r="D36" s="11">
        <f>B36/5</f>
        <v/>
      </c>
      <c r="E36" s="9">
        <f>IFERROR(AVERAGEIF($B$4:$B$28,$A36,$D$4:$D$28),"—")</f>
        <v/>
      </c>
      <c r="F36" s="9">
        <f>IFERROR(AVERAGEIF($B$4:$B$28,$A36,$F$4:$F$28),"—")</f>
        <v/>
      </c>
    </row>
  </sheetData>
  <dataValidations count="1">
    <dataValidation sqref="C4:C28" showDropDown="0" showInputMessage="0" showErrorMessage="0" allowBlank="1" type="list">
      <formula1>"Sucesso,Parcial,Falha"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6" customWidth="1" min="10" max="10"/>
    <col width="15" customWidth="1" min="11" max="11"/>
    <col width="9" customWidth="1" min="12" max="12"/>
  </cols>
  <sheetData>
    <row r="1">
      <c r="A1" s="4" t="inlineStr">
        <is>
          <t>UEQ-S — respostas (-3 a +3) e cálculo automático</t>
        </is>
      </c>
    </row>
    <row r="3">
      <c r="A3" s="5" t="inlineStr">
        <is>
          <t>Participante</t>
        </is>
      </c>
      <c r="B3" s="5" t="inlineStr">
        <is>
          <t>1 apoia</t>
        </is>
      </c>
      <c r="C3" s="5" t="inlineStr">
        <is>
          <t>2 fácil</t>
        </is>
      </c>
      <c r="D3" s="5" t="inlineStr">
        <is>
          <t>3 eficiente</t>
        </is>
      </c>
      <c r="E3" s="5" t="inlineStr">
        <is>
          <t>4 claro</t>
        </is>
      </c>
      <c r="F3" s="5" t="inlineStr">
        <is>
          <t>5 empolgante</t>
        </is>
      </c>
      <c r="G3" s="5" t="inlineStr">
        <is>
          <t>6 interessante</t>
        </is>
      </c>
      <c r="H3" s="5" t="inlineStr">
        <is>
          <t>7 inventivo</t>
        </is>
      </c>
      <c r="I3" s="5" t="inlineStr">
        <is>
          <t>8 inovador</t>
        </is>
      </c>
      <c r="J3" s="5" t="inlineStr">
        <is>
          <t>Pragmática (1-4)</t>
        </is>
      </c>
      <c r="K3" s="5" t="inlineStr">
        <is>
          <t>Hedônica (5-8)</t>
        </is>
      </c>
      <c r="L3" s="5" t="inlineStr">
        <is>
          <t>Geral</t>
        </is>
      </c>
    </row>
    <row r="4">
      <c r="A4" s="12" t="inlineStr">
        <is>
          <t>P1</t>
        </is>
      </c>
      <c r="B4" s="13" t="inlineStr"/>
      <c r="C4" s="13" t="inlineStr"/>
      <c r="D4" s="13" t="inlineStr"/>
      <c r="E4" s="13" t="inlineStr"/>
      <c r="F4" s="13" t="inlineStr"/>
      <c r="G4" s="13" t="inlineStr"/>
      <c r="H4" s="13" t="inlineStr"/>
      <c r="I4" s="13" t="inlineStr"/>
      <c r="J4" s="13">
        <f>IFERROR(AVERAGE(B4:E4),"—")</f>
        <v/>
      </c>
      <c r="K4" s="13">
        <f>IFERROR(AVERAGE(F4:I4),"—")</f>
        <v/>
      </c>
      <c r="L4" s="13">
        <f>IFERROR(AVERAGE(B4:I4),"—")</f>
        <v/>
      </c>
    </row>
    <row r="5">
      <c r="A5" s="14" t="inlineStr">
        <is>
          <t>P2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>
        <f>IFERROR(AVERAGE(B5:E5),"—")</f>
        <v/>
      </c>
      <c r="K5" s="15">
        <f>IFERROR(AVERAGE(F5:I5),"—")</f>
        <v/>
      </c>
      <c r="L5" s="15">
        <f>IFERROR(AVERAGE(B5:I5),"—")</f>
        <v/>
      </c>
    </row>
    <row r="6">
      <c r="A6" s="12" t="inlineStr">
        <is>
          <t>P3</t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>
        <f>IFERROR(AVERAGE(B6:E6),"—")</f>
        <v/>
      </c>
      <c r="K6" s="13">
        <f>IFERROR(AVERAGE(F6:I6),"—")</f>
        <v/>
      </c>
      <c r="L6" s="13">
        <f>IFERROR(AVERAGE(B6:I6),"—")</f>
        <v/>
      </c>
    </row>
    <row r="7">
      <c r="A7" s="14" t="inlineStr">
        <is>
          <t>P4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>
        <f>IFERROR(AVERAGE(B7:E7),"—")</f>
        <v/>
      </c>
      <c r="K7" s="15">
        <f>IFERROR(AVERAGE(F7:I7),"—")</f>
        <v/>
      </c>
      <c r="L7" s="15">
        <f>IFERROR(AVERAGE(B7:I7),"—")</f>
        <v/>
      </c>
    </row>
    <row r="8">
      <c r="A8" s="12" t="inlineStr">
        <is>
          <t>P5</t>
        </is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>
        <f>IFERROR(AVERAGE(B8:E8),"—")</f>
        <v/>
      </c>
      <c r="K8" s="13">
        <f>IFERROR(AVERAGE(F8:I8),"—")</f>
        <v/>
      </c>
      <c r="L8" s="13">
        <f>IFERROR(AVERAGE(B8:I8),"—")</f>
        <v/>
      </c>
    </row>
    <row r="9">
      <c r="A9" s="16" t="inlineStr">
        <is>
          <t>Média geral</t>
        </is>
      </c>
      <c r="J9" s="17">
        <f>IFERROR(AVERAGE(J4:J8),"—")</f>
        <v/>
      </c>
      <c r="K9" s="17">
        <f>IFERROR(AVERAGE(K4:K8),"—")</f>
        <v/>
      </c>
      <c r="L9" s="17">
        <f>IFERROR(AVERAGE(L4:L8),"—")</f>
        <v/>
      </c>
    </row>
    <row r="11">
      <c r="A11" s="18" t="inlineStr">
        <is>
          <t>Interpretação: &gt; 0,80 = positiva · entre -0,80 e 0,80 = neutra · &lt; -0,80 = negativa  (escala -3 a +3).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8" customWidth="1" min="3" max="3"/>
    <col width="14" customWidth="1" min="4" max="4"/>
    <col width="24" customWidth="1" min="5" max="5"/>
    <col width="34" customWidth="1" min="6" max="6"/>
  </cols>
  <sheetData>
    <row r="1">
      <c r="A1" s="4" t="inlineStr">
        <is>
          <t>Defeitos identificados (3 a 5) — para os slides (antes → depois)</t>
        </is>
      </c>
    </row>
    <row r="3">
      <c r="A3" s="5" t="inlineStr">
        <is>
          <t>#</t>
        </is>
      </c>
      <c r="B3" s="5" t="inlineStr">
        <is>
          <t>Defeito observado</t>
        </is>
      </c>
      <c r="C3" s="5" t="inlineStr">
        <is>
          <t>Heurística de Nielsen violada</t>
        </is>
      </c>
      <c r="D3" s="5" t="inlineStr">
        <is>
          <t>Severidade (0–4)</t>
        </is>
      </c>
      <c r="E3" s="5" t="inlineStr">
        <is>
          <t>Evidência (quem travou)</t>
        </is>
      </c>
      <c r="F3" s="5" t="inlineStr">
        <is>
          <t>Correção feita (antes → depois)</t>
        </is>
      </c>
    </row>
    <row r="4">
      <c r="A4" s="19" t="inlineStr">
        <is>
          <t>D1</t>
        </is>
      </c>
      <c r="B4" s="20" t="inlineStr"/>
      <c r="C4" s="20" t="inlineStr"/>
      <c r="D4" s="20" t="inlineStr"/>
      <c r="E4" s="20" t="inlineStr"/>
      <c r="F4" s="20" t="inlineStr"/>
    </row>
    <row r="5">
      <c r="A5" s="21" t="inlineStr">
        <is>
          <t>D2</t>
        </is>
      </c>
      <c r="B5" s="22" t="inlineStr"/>
      <c r="C5" s="22" t="inlineStr"/>
      <c r="D5" s="22" t="inlineStr"/>
      <c r="E5" s="22" t="inlineStr"/>
      <c r="F5" s="22" t="inlineStr"/>
    </row>
    <row r="6">
      <c r="A6" s="19" t="inlineStr">
        <is>
          <t>D3</t>
        </is>
      </c>
      <c r="B6" s="20" t="inlineStr"/>
      <c r="C6" s="20" t="inlineStr"/>
      <c r="D6" s="20" t="inlineStr"/>
      <c r="E6" s="20" t="inlineStr"/>
      <c r="F6" s="20" t="inlineStr"/>
    </row>
    <row r="7">
      <c r="A7" s="21" t="inlineStr">
        <is>
          <t>D4</t>
        </is>
      </c>
      <c r="B7" s="22" t="inlineStr"/>
      <c r="C7" s="22" t="inlineStr"/>
      <c r="D7" s="22" t="inlineStr"/>
      <c r="E7" s="22" t="inlineStr"/>
      <c r="F7" s="22" t="inlineStr"/>
    </row>
    <row r="8">
      <c r="A8" s="19" t="inlineStr">
        <is>
          <t>D5</t>
        </is>
      </c>
      <c r="B8" s="20" t="inlineStr"/>
      <c r="C8" s="20" t="inlineStr"/>
      <c r="D8" s="20" t="inlineStr"/>
      <c r="E8" s="20" t="inlineStr"/>
      <c r="F8" s="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2026-06-18T15:33:39Z</dcterms:created>
  <dcterms:modified xsi:type="dcterms:W3CDTF">2026-06-18T15:33:39Z</dcterms:modified>
</cp:coreProperties>
</file>